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0" windowHeight="11140" activeTab="1"/>
  </bookViews>
  <sheets>
    <sheet name="PI" sheetId="1" r:id="rId1"/>
    <sheet name="PK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<sst xmlns="http://schemas.openxmlformats.org/spreadsheetml/2006/main" count="111" uniqueCount="56">
  <si>
    <t>COMMERCIAL INVOICE</t>
  </si>
  <si>
    <t>Exporter(Name,Address.)</t>
  </si>
  <si>
    <t>Guangzhou Futong Trading Co.,Ltd</t>
  </si>
  <si>
    <t>SHENZHEN QIFA TRADE CO., LTD.
O/B Guangzhou Futong Trading Co.,Ltd
LEE JONGIN
+86 13112664569  jimmy@jimmylee.kr
2/F, Tangli Building, 491 Zhongshan Avenue West, Tianhe Distric,Guangzhou,Guangdong,China</t>
  </si>
  <si>
    <t>To:Messrs</t>
  </si>
  <si>
    <t>MUKADEM FACTORY FOR THE PRODUCTION OF GLASS
AL FARWANIYAH GOVERNORATE, RAI, BLOCK1, STREET IBRAHIM MOHAMMAD AL_JRAIWY, PARCEL 286
ALI ALSHMERY 00965 9773 4376
AILALSHMERY@YAHOO.COM</t>
  </si>
  <si>
    <t>Issued by(Bank &amp; Branch)</t>
  </si>
  <si>
    <t>Invoice NO.</t>
  </si>
  <si>
    <t>Date</t>
  </si>
  <si>
    <t/>
  </si>
  <si>
    <t>FT26021101</t>
  </si>
  <si>
    <t>2026.02.11</t>
  </si>
  <si>
    <t>Your Order No.</t>
  </si>
  <si>
    <t>Our Order NO.</t>
  </si>
  <si>
    <t>Documentary Credit No.</t>
  </si>
  <si>
    <t>Vessel/Aircraft etc.</t>
  </si>
  <si>
    <t>From</t>
  </si>
  <si>
    <t>Country of Origin of Goods</t>
  </si>
  <si>
    <t>BY SEA</t>
  </si>
  <si>
    <t>NANSHA</t>
  </si>
  <si>
    <t>CHINA</t>
  </si>
  <si>
    <t>To</t>
  </si>
  <si>
    <t>Terms of Delivery and payment</t>
  </si>
  <si>
    <t>SHUWAIKH</t>
  </si>
  <si>
    <t>TT CIF SHUWAIKA</t>
  </si>
  <si>
    <t>Marks and Numbers</t>
  </si>
  <si>
    <t>Description of Goods</t>
  </si>
  <si>
    <t>Quantity</t>
  </si>
  <si>
    <t>Unit Price</t>
  </si>
  <si>
    <t>Amount
USD</t>
  </si>
  <si>
    <t>HSCODE</t>
  </si>
  <si>
    <t>PLASTIC CORNER CONNECTOR 3926901000</t>
  </si>
  <si>
    <t>POLISHING WHEEL 6804221000</t>
  </si>
  <si>
    <t>DRILL BIT 8207501000</t>
  </si>
  <si>
    <t>GLASS MACHINERY PARTS 8466910000</t>
  </si>
  <si>
    <t>GRINDING STONE 6804229090</t>
  </si>
  <si>
    <t>HANDLE 8302410000</t>
  </si>
  <si>
    <t>CLAMP 8302410000</t>
  </si>
  <si>
    <t>SLIDING DOOR BAR 8302410000</t>
  </si>
  <si>
    <t>SLIDING DOOR FITTING 8302410000</t>
  </si>
  <si>
    <t>HANDRAIL FITTING 8302410000</t>
  </si>
  <si>
    <t>FLOOR HINGE 8302600000</t>
  </si>
  <si>
    <t>PATCH FITTING 8302410000</t>
  </si>
  <si>
    <t>GLASS DOOR LOCK 8301400000</t>
  </si>
  <si>
    <t>TOTAL：</t>
  </si>
  <si>
    <t>Stamp or signature</t>
  </si>
  <si>
    <t>PACKING LIST</t>
  </si>
  <si>
    <t xml:space="preserve">Guangzhou Futong Trading Co.,Ltd </t>
  </si>
  <si>
    <t>TT CIF SHUWAIKH</t>
  </si>
  <si>
    <t>DESCRIPTION OF GOODS</t>
  </si>
  <si>
    <t>QUANTITY</t>
  </si>
  <si>
    <t>PKG</t>
  </si>
  <si>
    <t>G.W.(KGS)</t>
  </si>
  <si>
    <t>N.W.(KGS)</t>
  </si>
  <si>
    <t>TTL CBM</t>
  </si>
  <si>
    <t>HS CODE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</si>
</sst>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_ "/>
  </numFmts>
  <fonts count="32">
    <font>
      <sz val="11"/>
      <color theme="1"/>
      <name val="等线"/>
      <charset val="134"/>
      <scheme val="minor"/>
    </font>
    <font>
      <b/>
      <sz val="20"/>
      <name val="Times New Roman"/>
      <charset val="134"/>
    </font>
    <font>
      <sz val="10"/>
      <name val="Times New Roman"/>
      <charset val="134"/>
    </font>
    <font>
      <b/>
      <sz val="16"/>
      <name val="Malgun Gothic"/>
      <charset val="129"/>
    </font>
    <font>
      <b/>
      <sz val="11"/>
      <color theme="1"/>
      <name val="等线"/>
      <charset val="134"/>
      <scheme val="minor"/>
    </font>
    <font>
      <sz val="11"/>
      <color theme="1"/>
      <name val="Times New Roman Regular"/>
      <charset val="134"/>
    </font>
    <font>
      <sz val="10"/>
      <color theme="1"/>
      <name val="宋体"/>
      <charset val="134"/>
    </font>
    <font>
      <b/>
      <sz val="18"/>
      <name val="Arial Unicode MS"/>
      <charset val="134"/>
    </font>
    <font>
      <sz val="11"/>
      <color theme="1"/>
      <name val="Arial Unicode MS"/>
      <charset val="134"/>
    </font>
    <font>
      <sz val="10"/>
      <name val="宋体-简"/>
      <charset val="134"/>
    </font>
    <font>
      <sz val="10"/>
      <name val="Times New Roman Regular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0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0"/>
      </bottom>
      <diagonal/>
    </border>
    <border>
      <left style="thin">
        <color indexed="8"/>
      </left>
      <right/>
      <top/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0"/>
      </right>
      <top/>
      <bottom/>
      <diagonal/>
    </border>
    <border>
      <left style="thin">
        <color indexed="8"/>
      </left>
      <right/>
      <top style="thin">
        <color indexed="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2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8" fillId="0" borderId="2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30" applyNumberFormat="0" applyAlignment="0" applyProtection="0">
      <alignment vertical="center"/>
    </xf>
    <xf numFmtId="0" fontId="20" fillId="5" borderId="31" applyNumberFormat="0" applyAlignment="0" applyProtection="0">
      <alignment vertical="center"/>
    </xf>
    <xf numFmtId="0" fontId="21" fillId="5" borderId="30" applyNumberFormat="0" applyAlignment="0" applyProtection="0">
      <alignment vertical="center"/>
    </xf>
    <xf numFmtId="0" fontId="22" fillId="6" borderId="32" applyNumberFormat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24" fillId="0" borderId="34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30" fillId="0" borderId="0"/>
    <xf numFmtId="0" fontId="31" fillId="0" borderId="0"/>
    <xf numFmtId="0" fontId="31" fillId="0" borderId="0">
      <alignment vertical="center"/>
    </xf>
    <xf numFmtId="0" fontId="31" fillId="0" borderId="0"/>
  </cellStyleXfs>
  <cellXfs count="9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2" fillId="0" borderId="1" xfId="0" applyFont="1" applyBorder="1" applyAlignment="1" applyProtection="1">
      <alignment horizontal="left" vertical="center" wrapText="1"/>
      <protection locked="0"/>
    </xf>
    <xf numFmtId="0" fontId="0" fillId="0" borderId="2" xfId="0" applyBorder="1" applyAlignment="1"/>
    <xf numFmtId="0" fontId="3" fillId="0" borderId="0" xfId="0" applyFont="1" applyAlignment="1">
      <alignment horizontal="center" vertical="center" wrapText="1"/>
    </xf>
    <xf numFmtId="0" fontId="2" fillId="0" borderId="3" xfId="0" applyFont="1" applyBorder="1" applyAlignment="1" applyProtection="1">
      <alignment horizontal="left" vertical="top" wrapText="1"/>
      <protection locked="0"/>
    </xf>
    <xf numFmtId="0" fontId="0" fillId="0" borderId="4" xfId="0" applyBorder="1" applyAlignment="1"/>
    <xf numFmtId="0" fontId="2" fillId="0" borderId="5" xfId="0" applyFont="1" applyBorder="1" applyAlignment="1" applyProtection="1">
      <alignment horizontal="left" vertical="top" wrapText="1"/>
      <protection locked="0"/>
    </xf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2" fillId="0" borderId="3" xfId="0" applyFont="1" applyBorder="1" applyAlignment="1" applyProtection="1">
      <alignment horizontal="left" vertical="center" wrapText="1"/>
      <protection locked="0"/>
    </xf>
    <xf numFmtId="0" fontId="0" fillId="0" borderId="10" xfId="0" applyBorder="1" applyAlignment="1"/>
    <xf numFmtId="0" fontId="0" fillId="0" borderId="11" xfId="0" applyBorder="1" applyAlignment="1"/>
    <xf numFmtId="0" fontId="2" fillId="0" borderId="12" xfId="0" applyFont="1" applyBorder="1" applyAlignment="1" applyProtection="1">
      <alignment horizontal="center" vertical="center" wrapText="1"/>
      <protection locked="0"/>
    </xf>
    <xf numFmtId="0" fontId="0" fillId="0" borderId="13" xfId="0" applyBorder="1" applyAlignment="1"/>
    <xf numFmtId="0" fontId="2" fillId="0" borderId="14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 applyProtection="1">
      <alignment horizontal="center" vertical="center" wrapText="1"/>
      <protection locked="0"/>
    </xf>
    <xf numFmtId="176" fontId="2" fillId="0" borderId="17" xfId="0" applyNumberFormat="1" applyFont="1" applyBorder="1" applyAlignment="1" applyProtection="1">
      <alignment horizontal="center" vertical="center" wrapText="1"/>
      <protection locked="0"/>
    </xf>
    <xf numFmtId="177" fontId="2" fillId="0" borderId="17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vertical="center" wrapText="1"/>
    </xf>
    <xf numFmtId="0" fontId="2" fillId="0" borderId="17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vertical="center" wrapText="1"/>
    </xf>
    <xf numFmtId="0" fontId="2" fillId="0" borderId="12" xfId="0" applyFont="1" applyBorder="1" applyAlignment="1" applyProtection="1">
      <alignment horizontal="left" vertical="center" wrapText="1"/>
      <protection locked="0"/>
    </xf>
    <xf numFmtId="0" fontId="2" fillId="0" borderId="14" xfId="0" applyFont="1" applyBorder="1" applyAlignment="1">
      <alignment horizontal="center" vertical="center" wrapText="1"/>
    </xf>
    <xf numFmtId="177" fontId="2" fillId="0" borderId="14" xfId="0" applyNumberFormat="1" applyFont="1" applyBorder="1" applyAlignment="1">
      <alignment horizontal="center"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16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2" fillId="0" borderId="19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/>
    </xf>
    <xf numFmtId="0" fontId="0" fillId="0" borderId="0" xfId="0" applyAlignment="1" applyProtection="1"/>
    <xf numFmtId="0" fontId="0" fillId="0" borderId="0" xfId="0" applyProtection="1">
      <alignment vertical="center"/>
    </xf>
    <xf numFmtId="0" fontId="2" fillId="0" borderId="1" xfId="0" applyFont="1" applyBorder="1" applyAlignment="1" applyProtection="1">
      <alignment horizontal="left" vertical="center" wrapText="1"/>
    </xf>
    <xf numFmtId="0" fontId="0" fillId="0" borderId="7" xfId="0" applyBorder="1" applyAlignment="1" applyProtection="1"/>
    <xf numFmtId="0" fontId="7" fillId="0" borderId="0" xfId="0" applyFont="1" applyAlignment="1" applyProtection="1">
      <alignment horizontal="center" vertical="center" wrapText="1"/>
    </xf>
    <xf numFmtId="0" fontId="8" fillId="0" borderId="0" xfId="0" applyFont="1" applyAlignment="1" applyProtection="1"/>
    <xf numFmtId="0" fontId="2" fillId="0" borderId="3" xfId="0" applyFont="1" applyBorder="1" applyAlignment="1" applyProtection="1">
      <alignment horizontal="left" vertical="top" wrapText="1"/>
    </xf>
    <xf numFmtId="0" fontId="0" fillId="0" borderId="11" xfId="0" applyBorder="1" applyAlignment="1" applyProtection="1"/>
    <xf numFmtId="0" fontId="2" fillId="0" borderId="5" xfId="0" applyFont="1" applyBorder="1" applyAlignment="1" applyProtection="1">
      <alignment horizontal="left" vertical="top" wrapText="1"/>
    </xf>
    <xf numFmtId="0" fontId="0" fillId="0" borderId="20" xfId="0" applyBorder="1" applyAlignment="1" applyProtection="1"/>
    <xf numFmtId="0" fontId="2" fillId="0" borderId="3" xfId="0" applyFont="1" applyFill="1" applyBorder="1" applyAlignment="1" applyProtection="1">
      <alignment horizontal="left" vertical="center" wrapText="1"/>
    </xf>
    <xf numFmtId="0" fontId="0" fillId="0" borderId="11" xfId="0" applyFill="1" applyBorder="1" applyAlignment="1" applyProtection="1"/>
    <xf numFmtId="0" fontId="0" fillId="0" borderId="6" xfId="0" applyBorder="1" applyAlignment="1" applyProtection="1"/>
    <xf numFmtId="0" fontId="2" fillId="0" borderId="3" xfId="0" applyFont="1" applyBorder="1" applyAlignment="1" applyProtection="1">
      <alignment horizontal="left" vertical="center" wrapText="1"/>
    </xf>
    <xf numFmtId="0" fontId="0" fillId="0" borderId="2" xfId="0" applyBorder="1" applyAlignment="1" applyProtection="1"/>
    <xf numFmtId="0" fontId="0" fillId="0" borderId="9" xfId="0" applyBorder="1" applyAlignment="1" applyProtection="1"/>
    <xf numFmtId="0" fontId="0" fillId="0" borderId="4" xfId="0" applyBorder="1" applyAlignment="1" applyProtection="1"/>
    <xf numFmtId="0" fontId="2" fillId="0" borderId="21" xfId="0" applyFont="1" applyBorder="1" applyAlignment="1" applyProtection="1">
      <alignment horizontal="left" vertical="center" wrapText="1"/>
    </xf>
    <xf numFmtId="0" fontId="2" fillId="0" borderId="22" xfId="0" applyFont="1" applyBorder="1" applyAlignment="1" applyProtection="1">
      <alignment horizontal="left" vertical="center" wrapText="1"/>
    </xf>
    <xf numFmtId="0" fontId="2" fillId="0" borderId="5" xfId="0" applyFont="1" applyBorder="1" applyAlignment="1" applyProtection="1">
      <alignment horizontal="left" vertical="center" wrapText="1"/>
    </xf>
    <xf numFmtId="0" fontId="2" fillId="2" borderId="23" xfId="0" applyFont="1" applyFill="1" applyBorder="1" applyAlignment="1" applyProtection="1">
      <alignment horizontal="left" vertical="center" wrapText="1"/>
    </xf>
    <xf numFmtId="4" fontId="4" fillId="0" borderId="0" xfId="0" applyNumberFormat="1" applyFont="1" applyAlignment="1" applyProtection="1">
      <alignment vertical="center" wrapText="1"/>
    </xf>
    <xf numFmtId="0" fontId="2" fillId="0" borderId="12" xfId="0" applyFont="1" applyBorder="1" applyAlignment="1" applyProtection="1">
      <alignment horizontal="center" vertical="center" wrapText="1"/>
    </xf>
    <xf numFmtId="0" fontId="0" fillId="0" borderId="13" xfId="0" applyBorder="1" applyAlignment="1" applyProtection="1"/>
    <xf numFmtId="0" fontId="0" fillId="0" borderId="24" xfId="0" applyBorder="1" applyAlignment="1" applyProtection="1"/>
    <xf numFmtId="0" fontId="2" fillId="0" borderId="14" xfId="0" applyFont="1" applyBorder="1" applyAlignment="1" applyProtection="1">
      <alignment horizontal="center" vertical="center" wrapText="1"/>
    </xf>
    <xf numFmtId="0" fontId="9" fillId="0" borderId="14" xfId="0" applyFont="1" applyBorder="1" applyAlignment="1" applyProtection="1">
      <alignment horizontal="center" vertical="center" wrapText="1"/>
    </xf>
    <xf numFmtId="0" fontId="4" fillId="0" borderId="0" xfId="0" applyFont="1" applyAlignment="1" applyProtection="1">
      <alignment horizontal="center" vertical="center" wrapText="1"/>
    </xf>
    <xf numFmtId="0" fontId="5" fillId="0" borderId="15" xfId="0" applyFont="1" applyBorder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</xf>
    <xf numFmtId="0" fontId="5" fillId="0" borderId="20" xfId="0" applyFont="1" applyBorder="1" applyAlignment="1" applyProtection="1">
      <alignment horizontal="center" vertical="center"/>
    </xf>
    <xf numFmtId="0" fontId="2" fillId="0" borderId="17" xfId="0" applyFont="1" applyBorder="1" applyAlignment="1" applyProtection="1">
      <alignment horizontal="center" vertical="center" wrapText="1"/>
    </xf>
    <xf numFmtId="177" fontId="2" fillId="0" borderId="17" xfId="0" applyNumberFormat="1" applyFont="1" applyBorder="1" applyAlignment="1" applyProtection="1">
      <alignment horizontal="center" vertical="center" wrapText="1"/>
    </xf>
    <xf numFmtId="178" fontId="2" fillId="0" borderId="17" xfId="0" applyNumberFormat="1" applyFont="1" applyBorder="1" applyAlignment="1" applyProtection="1">
      <alignment horizontal="center" vertical="center" wrapText="1"/>
    </xf>
    <xf numFmtId="176" fontId="2" fillId="0" borderId="17" xfId="0" applyNumberFormat="1" applyFont="1" applyBorder="1" applyAlignment="1" applyProtection="1">
      <alignment horizontal="center" vertical="center" wrapText="1"/>
    </xf>
    <xf numFmtId="0" fontId="0" fillId="0" borderId="0" xfId="0" applyAlignment="1" applyProtection="1">
      <alignment vertical="center" wrapText="1"/>
    </xf>
    <xf numFmtId="4" fontId="0" fillId="0" borderId="0" xfId="0" applyNumberFormat="1" applyAlignment="1" applyProtection="1">
      <alignment vertical="center" wrapText="1"/>
    </xf>
    <xf numFmtId="0" fontId="4" fillId="0" borderId="0" xfId="0" applyFont="1" applyAlignment="1" applyProtection="1">
      <alignment vertical="center" wrapText="1"/>
    </xf>
    <xf numFmtId="177" fontId="2" fillId="0" borderId="16" xfId="0" applyNumberFormat="1" applyFont="1" applyFill="1" applyBorder="1" applyAlignment="1" applyProtection="1">
      <alignment horizontal="center" vertical="center" wrapText="1"/>
    </xf>
    <xf numFmtId="0" fontId="2" fillId="0" borderId="15" xfId="0" applyFont="1" applyBorder="1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 wrapText="1"/>
    </xf>
    <xf numFmtId="0" fontId="2" fillId="0" borderId="20" xfId="0" applyFont="1" applyBorder="1" applyAlignment="1" applyProtection="1">
      <alignment horizontal="center" vertical="center" wrapText="1"/>
    </xf>
    <xf numFmtId="178" fontId="2" fillId="0" borderId="14" xfId="0" applyNumberFormat="1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0" fillId="0" borderId="25" xfId="0" applyBorder="1" applyAlignment="1" applyProtection="1">
      <alignment horizontal="center"/>
    </xf>
    <xf numFmtId="0" fontId="2" fillId="0" borderId="26" xfId="0" applyFont="1" applyBorder="1" applyAlignment="1" applyProtection="1">
      <alignment horizontal="center" vertical="center" wrapText="1"/>
    </xf>
    <xf numFmtId="0" fontId="2" fillId="0" borderId="3" xfId="0" applyFont="1" applyBorder="1" applyAlignment="1" applyProtection="1">
      <alignment horizontal="center" vertical="center" wrapText="1"/>
    </xf>
    <xf numFmtId="0" fontId="2" fillId="0" borderId="18" xfId="0" applyFont="1" applyBorder="1" applyAlignment="1" applyProtection="1">
      <alignment horizontal="center" vertical="center" wrapText="1"/>
    </xf>
    <xf numFmtId="0" fontId="2" fillId="0" borderId="19" xfId="0" applyFont="1" applyBorder="1" applyAlignment="1" applyProtection="1">
      <alignment horizontal="center" vertical="center" wrapText="1"/>
    </xf>
    <xf numFmtId="0" fontId="0" fillId="0" borderId="0" xfId="0" applyFont="1" applyFill="1" applyAlignment="1" applyProtection="1">
      <alignment vertical="center"/>
    </xf>
    <xf numFmtId="0" fontId="0" fillId="0" borderId="0" xfId="0" applyBorder="1" applyProtection="1">
      <alignment vertical="center"/>
    </xf>
    <xf numFmtId="0" fontId="10" fillId="0" borderId="0" xfId="0" applyFont="1" applyBorder="1" applyAlignment="1" applyProtection="1">
      <alignment vertical="center" wrapText="1"/>
    </xf>
    <xf numFmtId="0" fontId="5" fillId="0" borderId="0" xfId="0" applyFont="1" applyBorder="1" applyAlignment="1" applyProtection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  <cellStyle name="常规 2 2 5" xfId="50"/>
    <cellStyle name="常规_2009-179-200H38N-SPL DOC" xfId="51"/>
    <cellStyle name="常规 2 2 4" xf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36</xdr:row>
          <xdr:rowOff>0</xdr:rowOff>
        </xdr:from>
        <xdr:to>
          <xdr:col>9</xdr:col>
          <xdr:colOff>126365</xdr:colOff>
          <xdr:row>37</xdr:row>
          <xdr:rowOff>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9178290" y="10634980"/>
              <a:ext cx="115951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"/>
  <sheetViews>
    <sheetView zoomScale="84" zoomScaleNormal="84" topLeftCell="C14" workbookViewId="0">
      <selection activeCell="H17" sqref="H17:J38"/>
    </sheetView>
  </sheetViews>
  <sheetFormatPr defaultColWidth="9" defaultRowHeight="16.8"/>
  <cols>
    <col min="1" max="1" width="17.75" customWidth="1"/>
    <col min="2" max="2" width="23.6785714285714" customWidth="1"/>
    <col min="3" max="3" width="25.6875" customWidth="1"/>
    <col min="4" max="4" width="12.9107142857143" customWidth="1"/>
    <col min="5" max="5" width="14.3928571428571" customWidth="1"/>
    <col min="6" max="6" width="12.375" customWidth="1"/>
    <col min="7" max="7" width="11.5535714285714" customWidth="1"/>
    <col min="8" max="8" width="61.1160714285714" customWidth="1"/>
  </cols>
  <sheetData>
    <row r="1" ht="59.65" customHeight="1" spans="1:12">
      <c r="A1" s="40" t="s">
        <v>0</v>
      </c>
      <c r="B1" s="41"/>
      <c r="C1" s="41"/>
      <c r="D1" s="41"/>
      <c r="E1" s="41"/>
      <c r="F1" s="41"/>
      <c r="G1" s="42"/>
      <c r="H1" s="42"/>
      <c r="I1" s="42"/>
      <c r="J1" s="42"/>
      <c r="K1" s="42"/>
      <c r="L1" s="42"/>
    </row>
    <row r="2" spans="1:12">
      <c r="A2" s="43" t="s">
        <v>1</v>
      </c>
      <c r="B2" s="44"/>
      <c r="C2" s="45" t="s">
        <v>2</v>
      </c>
      <c r="D2" s="46"/>
      <c r="E2" s="46"/>
      <c r="F2" s="46"/>
      <c r="G2" s="42"/>
      <c r="H2" s="42"/>
      <c r="I2" s="42"/>
      <c r="J2" s="42"/>
      <c r="K2" s="42"/>
      <c r="L2" s="42"/>
    </row>
    <row r="3" ht="85.15" customHeight="1" spans="1:12">
      <c r="A3" s="47" t="s">
        <v>3</v>
      </c>
      <c r="B3" s="48"/>
      <c r="C3" s="46"/>
      <c r="D3" s="46"/>
      <c r="E3" s="46"/>
      <c r="F3" s="46"/>
      <c r="G3" s="42"/>
      <c r="H3" s="42"/>
      <c r="I3" s="42"/>
      <c r="J3" s="42"/>
      <c r="K3" s="42"/>
      <c r="L3" s="42"/>
    </row>
    <row r="4" spans="1:12">
      <c r="A4" s="43" t="s">
        <v>4</v>
      </c>
      <c r="B4" s="44"/>
      <c r="C4" s="46"/>
      <c r="D4" s="46"/>
      <c r="E4" s="46"/>
      <c r="F4" s="46"/>
      <c r="G4" s="42"/>
      <c r="H4" s="42"/>
      <c r="I4" s="42"/>
      <c r="J4" s="42"/>
      <c r="K4" s="42"/>
      <c r="L4" s="42"/>
    </row>
    <row r="5" ht="97.5" customHeight="1" spans="1:12">
      <c r="A5" s="47" t="s">
        <v>5</v>
      </c>
      <c r="B5" s="48"/>
      <c r="C5" s="46"/>
      <c r="D5" s="46"/>
      <c r="E5" s="46"/>
      <c r="F5" s="46"/>
      <c r="G5" s="42"/>
      <c r="H5" s="42"/>
      <c r="I5" s="42"/>
      <c r="J5" s="42"/>
      <c r="K5" s="42"/>
      <c r="L5" s="42"/>
    </row>
    <row r="6" spans="1:12">
      <c r="A6" s="43" t="s">
        <v>6</v>
      </c>
      <c r="B6" s="44"/>
      <c r="C6" s="43" t="s">
        <v>7</v>
      </c>
      <c r="D6" s="44"/>
      <c r="E6" s="43" t="s">
        <v>8</v>
      </c>
      <c r="F6" s="44"/>
      <c r="G6" s="42"/>
      <c r="H6" s="42"/>
      <c r="I6" s="42"/>
      <c r="J6" s="42"/>
      <c r="K6" s="42"/>
      <c r="L6" s="42"/>
    </row>
    <row r="7" spans="1:12">
      <c r="A7" s="49" t="s">
        <v>9</v>
      </c>
      <c r="B7" s="50"/>
      <c r="C7" s="51" t="s">
        <v>10</v>
      </c>
      <c r="D7" s="52"/>
      <c r="E7" s="51" t="s">
        <v>11</v>
      </c>
      <c r="F7" s="52"/>
      <c r="G7" s="42"/>
      <c r="H7" s="42"/>
      <c r="I7" s="42"/>
      <c r="J7" s="42"/>
      <c r="K7" s="42"/>
      <c r="L7" s="42"/>
    </row>
    <row r="8" spans="1:12">
      <c r="A8" s="53"/>
      <c r="B8" s="50"/>
      <c r="C8" s="43" t="s">
        <v>12</v>
      </c>
      <c r="D8" s="44"/>
      <c r="E8" s="43" t="s">
        <v>13</v>
      </c>
      <c r="F8" s="44"/>
      <c r="G8" s="42"/>
      <c r="H8" s="42"/>
      <c r="I8" s="42"/>
      <c r="J8" s="42"/>
      <c r="K8" s="42"/>
      <c r="L8" s="42"/>
    </row>
    <row r="9" spans="1:12">
      <c r="A9" s="53"/>
      <c r="B9" s="50"/>
      <c r="C9" s="54" t="s">
        <v>9</v>
      </c>
      <c r="D9" s="48"/>
      <c r="E9" s="54" t="s">
        <v>9</v>
      </c>
      <c r="F9" s="48"/>
      <c r="G9" s="42"/>
      <c r="H9" s="42"/>
      <c r="I9" s="42"/>
      <c r="J9" s="42"/>
      <c r="K9" s="42"/>
      <c r="L9" s="42"/>
    </row>
    <row r="10" spans="1:12">
      <c r="A10" s="53"/>
      <c r="B10" s="50"/>
      <c r="C10" s="43" t="s">
        <v>14</v>
      </c>
      <c r="D10" s="55"/>
      <c r="E10" s="55"/>
      <c r="F10" s="44"/>
      <c r="G10" s="42"/>
      <c r="H10" s="42"/>
      <c r="I10" s="42"/>
      <c r="J10" s="42"/>
      <c r="K10" s="42"/>
      <c r="L10" s="42"/>
    </row>
    <row r="11" spans="1:12">
      <c r="A11" s="56"/>
      <c r="B11" s="48"/>
      <c r="C11" s="54"/>
      <c r="D11" s="57"/>
      <c r="E11" s="57"/>
      <c r="F11" s="48"/>
      <c r="G11" s="42"/>
      <c r="H11" s="42"/>
      <c r="I11" s="42"/>
      <c r="J11" s="42"/>
      <c r="K11" s="42"/>
      <c r="L11" s="42"/>
    </row>
    <row r="12" spans="1:12">
      <c r="A12" s="58" t="s">
        <v>15</v>
      </c>
      <c r="B12" s="59" t="s">
        <v>16</v>
      </c>
      <c r="C12" s="43" t="s">
        <v>17</v>
      </c>
      <c r="D12" s="55"/>
      <c r="E12" s="55"/>
      <c r="F12" s="44"/>
      <c r="G12" s="42"/>
      <c r="H12" s="42"/>
      <c r="I12" s="42"/>
      <c r="J12" s="42"/>
      <c r="K12" s="42"/>
      <c r="L12" s="42"/>
    </row>
    <row r="13" spans="1:12">
      <c r="A13" s="60" t="s">
        <v>18</v>
      </c>
      <c r="B13" s="61" t="s">
        <v>19</v>
      </c>
      <c r="C13" s="54" t="s">
        <v>20</v>
      </c>
      <c r="D13" s="57"/>
      <c r="E13" s="57"/>
      <c r="F13" s="48"/>
      <c r="G13" s="42"/>
      <c r="H13" s="42"/>
      <c r="I13" s="42"/>
      <c r="J13" s="42"/>
      <c r="K13" s="42"/>
      <c r="L13" s="42"/>
    </row>
    <row r="14" spans="1:12">
      <c r="A14" s="43" t="s">
        <v>21</v>
      </c>
      <c r="B14" s="44"/>
      <c r="C14" s="43" t="s">
        <v>22</v>
      </c>
      <c r="D14" s="55"/>
      <c r="E14" s="55"/>
      <c r="F14" s="44"/>
      <c r="G14" s="42"/>
      <c r="H14" s="62"/>
      <c r="I14" s="42"/>
      <c r="J14" s="42"/>
      <c r="K14" s="42"/>
      <c r="L14" s="42"/>
    </row>
    <row r="15" spans="1:12">
      <c r="A15" s="54" t="s">
        <v>23</v>
      </c>
      <c r="B15" s="48"/>
      <c r="C15" s="54" t="s">
        <v>24</v>
      </c>
      <c r="D15" s="57"/>
      <c r="E15" s="57"/>
      <c r="F15" s="48"/>
      <c r="G15" s="42"/>
      <c r="H15" s="62"/>
      <c r="I15" s="42"/>
      <c r="J15" s="42"/>
      <c r="K15" s="42"/>
      <c r="L15" s="42"/>
    </row>
    <row r="16" spans="1:12">
      <c r="A16" s="43" t="s">
        <v>25</v>
      </c>
      <c r="B16" s="55"/>
      <c r="C16" s="55"/>
      <c r="D16" s="55"/>
      <c r="E16" s="55"/>
      <c r="F16" s="44"/>
      <c r="G16" s="42"/>
      <c r="H16" s="62"/>
      <c r="I16" s="42"/>
      <c r="J16" s="42"/>
      <c r="K16" s="42"/>
      <c r="L16" s="42"/>
    </row>
    <row r="17" spans="1:12">
      <c r="A17" s="47" t="s">
        <v>9</v>
      </c>
      <c r="B17" s="57"/>
      <c r="C17" s="57"/>
      <c r="D17" s="57"/>
      <c r="E17" s="57"/>
      <c r="F17" s="48"/>
      <c r="G17" s="42"/>
      <c r="H17" s="62"/>
      <c r="I17" s="42"/>
      <c r="J17" s="42"/>
      <c r="K17" s="42"/>
      <c r="L17" s="42"/>
    </row>
    <row r="18" ht="31" spans="1:12">
      <c r="A18" s="63" t="s">
        <v>26</v>
      </c>
      <c r="B18" s="64"/>
      <c r="C18" s="65"/>
      <c r="D18" s="66" t="s">
        <v>27</v>
      </c>
      <c r="E18" s="66" t="s">
        <v>28</v>
      </c>
      <c r="F18" s="66" t="s">
        <v>29</v>
      </c>
      <c r="G18" s="67" t="s">
        <v>30</v>
      </c>
      <c r="H18" s="62"/>
      <c r="I18" s="68"/>
      <c r="J18" s="68"/>
      <c r="K18" s="68"/>
      <c r="L18" s="68"/>
    </row>
    <row r="19" ht="15" customHeight="1" spans="1:12">
      <c r="A19" s="69" t="s">
        <v>31</v>
      </c>
      <c r="B19" s="70"/>
      <c r="C19" s="71"/>
      <c r="D19" s="72">
        <v>150000</v>
      </c>
      <c r="E19" s="73">
        <v>0.0237</v>
      </c>
      <c r="F19" s="74">
        <f t="shared" ref="F19:F24" si="0">D19*E19</f>
        <v>3555</v>
      </c>
      <c r="G19" s="75">
        <v>3926901000</v>
      </c>
      <c r="H19" s="62"/>
      <c r="I19" s="76"/>
      <c r="J19" s="77"/>
      <c r="K19" s="76"/>
      <c r="L19" s="78"/>
    </row>
    <row r="20" ht="15" customHeight="1" spans="1:12">
      <c r="A20" s="69" t="s">
        <v>32</v>
      </c>
      <c r="B20" s="70"/>
      <c r="C20" s="71"/>
      <c r="D20" s="72">
        <v>266</v>
      </c>
      <c r="E20" s="73">
        <v>4.66</v>
      </c>
      <c r="F20" s="74">
        <f t="shared" si="0"/>
        <v>1239.56</v>
      </c>
      <c r="G20" s="75">
        <v>6804221000</v>
      </c>
      <c r="H20" s="62"/>
      <c r="I20" s="76"/>
      <c r="J20" s="77"/>
      <c r="K20" s="76"/>
      <c r="L20" s="78"/>
    </row>
    <row r="21" ht="15" customHeight="1" spans="1:12">
      <c r="A21" s="69" t="s">
        <v>33</v>
      </c>
      <c r="B21" s="70"/>
      <c r="C21" s="71"/>
      <c r="D21" s="72">
        <v>149</v>
      </c>
      <c r="E21" s="73">
        <v>6.89</v>
      </c>
      <c r="F21" s="74">
        <f t="shared" si="0"/>
        <v>1026.61</v>
      </c>
      <c r="G21" s="75">
        <v>8207501000</v>
      </c>
      <c r="H21" s="62"/>
      <c r="I21" s="76"/>
      <c r="J21" s="77"/>
      <c r="K21" s="76"/>
      <c r="L21" s="78"/>
    </row>
    <row r="22" ht="15" customHeight="1" spans="1:12">
      <c r="A22" s="69" t="s">
        <v>34</v>
      </c>
      <c r="B22" s="70"/>
      <c r="C22" s="71"/>
      <c r="D22" s="72">
        <v>91</v>
      </c>
      <c r="E22" s="73">
        <v>2.05</v>
      </c>
      <c r="F22" s="74">
        <f t="shared" si="0"/>
        <v>186.55</v>
      </c>
      <c r="G22" s="75">
        <v>8466910000</v>
      </c>
      <c r="H22" s="62"/>
      <c r="I22" s="76"/>
      <c r="J22" s="77"/>
      <c r="K22" s="76"/>
      <c r="L22" s="78"/>
    </row>
    <row r="23" ht="15" customHeight="1" spans="1:12">
      <c r="A23" s="69" t="s">
        <v>35</v>
      </c>
      <c r="B23" s="70"/>
      <c r="C23" s="71"/>
      <c r="D23" s="72">
        <v>20</v>
      </c>
      <c r="E23" s="73">
        <v>6.42</v>
      </c>
      <c r="F23" s="74">
        <f t="shared" si="0"/>
        <v>128.4</v>
      </c>
      <c r="G23" s="75">
        <v>6804229090</v>
      </c>
      <c r="H23" s="68"/>
      <c r="I23" s="68"/>
      <c r="J23" s="68"/>
      <c r="K23" s="42"/>
      <c r="L23" s="42"/>
    </row>
    <row r="24" ht="15" customHeight="1" spans="1:12">
      <c r="A24" s="69" t="s">
        <v>36</v>
      </c>
      <c r="B24" s="70"/>
      <c r="C24" s="71"/>
      <c r="D24" s="72">
        <v>4680</v>
      </c>
      <c r="E24" s="73">
        <v>3.33</v>
      </c>
      <c r="F24" s="79">
        <f t="shared" si="0"/>
        <v>15584.4</v>
      </c>
      <c r="G24" s="75">
        <v>8302410000</v>
      </c>
      <c r="H24" s="76"/>
      <c r="I24" s="76"/>
      <c r="J24" s="76"/>
      <c r="K24" s="42"/>
      <c r="L24" s="42"/>
    </row>
    <row r="25" ht="15" customHeight="1" spans="1:12">
      <c r="A25" s="69" t="s">
        <v>37</v>
      </c>
      <c r="B25" s="70"/>
      <c r="C25" s="71"/>
      <c r="D25" s="72">
        <v>4120</v>
      </c>
      <c r="E25" s="73">
        <v>2.45</v>
      </c>
      <c r="F25" s="79">
        <f t="shared" ref="F25:F33" si="1">D25*E25</f>
        <v>10094</v>
      </c>
      <c r="G25" s="75">
        <v>8302410000</v>
      </c>
      <c r="H25" s="76"/>
      <c r="I25" s="76"/>
      <c r="J25" s="76"/>
      <c r="K25" s="42"/>
      <c r="L25" s="42"/>
    </row>
    <row r="26" ht="15" customHeight="1" spans="1:12">
      <c r="A26" s="69" t="s">
        <v>38</v>
      </c>
      <c r="B26" s="70"/>
      <c r="C26" s="71"/>
      <c r="D26" s="72">
        <v>1200</v>
      </c>
      <c r="E26" s="73">
        <v>8.12</v>
      </c>
      <c r="F26" s="79">
        <f t="shared" si="1"/>
        <v>9744</v>
      </c>
      <c r="G26" s="75">
        <v>8302410000</v>
      </c>
      <c r="H26" s="76"/>
      <c r="I26" s="76"/>
      <c r="J26" s="76"/>
      <c r="K26" s="42"/>
      <c r="L26" s="42"/>
    </row>
    <row r="27" ht="15" customHeight="1" spans="1:12">
      <c r="A27" s="69" t="s">
        <v>39</v>
      </c>
      <c r="B27" s="70"/>
      <c r="C27" s="71"/>
      <c r="D27" s="72">
        <v>260</v>
      </c>
      <c r="E27" s="73">
        <v>17.2</v>
      </c>
      <c r="F27" s="79">
        <f t="shared" si="1"/>
        <v>4472</v>
      </c>
      <c r="G27" s="75">
        <v>8302410000</v>
      </c>
      <c r="H27" s="76"/>
      <c r="I27" s="76"/>
      <c r="J27" s="76"/>
      <c r="K27" s="42"/>
      <c r="L27" s="42"/>
    </row>
    <row r="28" ht="15" customHeight="1" spans="1:12">
      <c r="A28" s="69" t="s">
        <v>40</v>
      </c>
      <c r="B28" s="70"/>
      <c r="C28" s="71"/>
      <c r="D28" s="72">
        <v>5020</v>
      </c>
      <c r="E28" s="73">
        <v>1.43</v>
      </c>
      <c r="F28" s="79">
        <f t="shared" si="1"/>
        <v>7178.6</v>
      </c>
      <c r="G28" s="75">
        <v>8302410000</v>
      </c>
      <c r="H28" s="76"/>
      <c r="I28" s="76"/>
      <c r="J28" s="76"/>
      <c r="K28" s="42"/>
      <c r="L28" s="42"/>
    </row>
    <row r="29" ht="15" customHeight="1" spans="1:12">
      <c r="A29" s="69" t="s">
        <v>41</v>
      </c>
      <c r="B29" s="70"/>
      <c r="C29" s="71"/>
      <c r="D29" s="72">
        <v>400</v>
      </c>
      <c r="E29" s="73">
        <v>8.04</v>
      </c>
      <c r="F29" s="79">
        <f t="shared" si="1"/>
        <v>3216</v>
      </c>
      <c r="G29" s="75">
        <v>8302600000</v>
      </c>
      <c r="H29" s="76"/>
      <c r="I29" s="76"/>
      <c r="J29" s="76"/>
      <c r="K29" s="42"/>
      <c r="L29" s="42"/>
    </row>
    <row r="30" ht="15" customHeight="1" spans="1:12">
      <c r="A30" s="69" t="s">
        <v>42</v>
      </c>
      <c r="B30" s="70"/>
      <c r="C30" s="71"/>
      <c r="D30" s="72">
        <v>24350</v>
      </c>
      <c r="E30" s="73">
        <v>0.94</v>
      </c>
      <c r="F30" s="79">
        <f t="shared" si="1"/>
        <v>22889</v>
      </c>
      <c r="G30" s="75">
        <v>8302410000</v>
      </c>
      <c r="H30" s="76"/>
      <c r="I30" s="76"/>
      <c r="J30" s="76"/>
      <c r="K30" s="42"/>
      <c r="L30" s="42"/>
    </row>
    <row r="31" ht="15" customHeight="1" spans="1:12">
      <c r="A31" s="69" t="s">
        <v>43</v>
      </c>
      <c r="B31" s="70"/>
      <c r="C31" s="71"/>
      <c r="D31" s="72">
        <v>1500</v>
      </c>
      <c r="E31" s="73">
        <v>7.18</v>
      </c>
      <c r="F31" s="79">
        <f t="shared" si="1"/>
        <v>10770</v>
      </c>
      <c r="G31" s="75">
        <v>8301400000</v>
      </c>
      <c r="H31" s="76"/>
      <c r="I31" s="76"/>
      <c r="J31" s="76"/>
      <c r="K31" s="42"/>
      <c r="L31" s="42"/>
    </row>
    <row r="32" ht="15" customHeight="1" spans="1:12">
      <c r="A32" s="69" t="s">
        <v>36</v>
      </c>
      <c r="B32" s="70"/>
      <c r="C32" s="71"/>
      <c r="D32" s="72">
        <v>14670</v>
      </c>
      <c r="E32" s="73">
        <v>1.68</v>
      </c>
      <c r="F32" s="79">
        <f t="shared" si="1"/>
        <v>24645.6</v>
      </c>
      <c r="G32" s="75">
        <v>8302410000</v>
      </c>
      <c r="H32" s="76"/>
      <c r="I32" s="76"/>
      <c r="J32" s="76"/>
      <c r="K32" s="42"/>
      <c r="L32" s="42"/>
    </row>
    <row r="33" ht="15" customHeight="1" spans="1:12">
      <c r="A33" s="69" t="s">
        <v>38</v>
      </c>
      <c r="B33" s="70"/>
      <c r="C33" s="71"/>
      <c r="D33" s="72">
        <v>1350</v>
      </c>
      <c r="E33" s="73">
        <v>3.94</v>
      </c>
      <c r="F33" s="79">
        <f t="shared" si="1"/>
        <v>5319</v>
      </c>
      <c r="G33" s="75">
        <v>8302410000</v>
      </c>
      <c r="H33" s="76"/>
      <c r="I33" s="76"/>
      <c r="J33" s="76"/>
      <c r="K33" s="42"/>
      <c r="L33" s="42"/>
    </row>
    <row r="34" ht="15" customHeight="1" spans="1:12">
      <c r="A34" s="69"/>
      <c r="B34" s="70"/>
      <c r="C34" s="71"/>
      <c r="D34" s="72"/>
      <c r="E34" s="73"/>
      <c r="F34" s="74"/>
      <c r="G34" s="75"/>
      <c r="H34" s="42"/>
      <c r="I34" s="42"/>
      <c r="J34" s="42"/>
      <c r="K34" s="42"/>
      <c r="L34" s="42"/>
    </row>
    <row r="35" spans="1:12">
      <c r="A35" s="80"/>
      <c r="B35" s="81"/>
      <c r="C35" s="82"/>
      <c r="D35" s="72"/>
      <c r="E35" s="73"/>
      <c r="F35" s="72"/>
      <c r="G35" s="75"/>
      <c r="H35" s="42"/>
      <c r="I35" s="42"/>
      <c r="J35" s="42"/>
      <c r="K35" s="42"/>
      <c r="L35" s="42"/>
    </row>
    <row r="36" spans="1:12">
      <c r="A36" s="80"/>
      <c r="B36" s="81"/>
      <c r="C36" s="82"/>
      <c r="D36" s="72"/>
      <c r="E36" s="72"/>
      <c r="F36" s="72"/>
      <c r="G36" s="75"/>
      <c r="H36" s="42"/>
      <c r="I36" s="42"/>
      <c r="J36" s="42"/>
      <c r="K36" s="42"/>
      <c r="L36" s="42"/>
    </row>
    <row r="37" spans="1:12">
      <c r="A37" s="43" t="s">
        <v>44</v>
      </c>
      <c r="B37" s="55"/>
      <c r="C37" s="44"/>
      <c r="D37" s="66">
        <f>SUM(D19:D34)</f>
        <v>208076</v>
      </c>
      <c r="E37" s="66"/>
      <c r="F37" s="83">
        <f>SUM(F19:F34)</f>
        <v>120048.72</v>
      </c>
      <c r="G37" s="83"/>
      <c r="H37" s="42"/>
      <c r="I37" s="42"/>
      <c r="J37" s="42"/>
      <c r="K37" s="42"/>
      <c r="L37" s="42"/>
    </row>
    <row r="38" ht="69.75" customHeight="1" spans="1:12">
      <c r="A38" s="84" t="s">
        <v>9</v>
      </c>
      <c r="B38" s="55"/>
      <c r="C38" s="55"/>
      <c r="D38" s="85"/>
      <c r="E38" s="85"/>
      <c r="F38" s="86" t="s">
        <v>9</v>
      </c>
      <c r="G38" s="42"/>
      <c r="H38" s="42"/>
      <c r="I38" s="42"/>
      <c r="J38" s="42"/>
      <c r="K38" s="42"/>
      <c r="L38" s="42"/>
    </row>
    <row r="39" ht="23.25" customHeight="1" spans="1:12">
      <c r="A39" s="87" t="s">
        <v>9</v>
      </c>
      <c r="B39" s="57"/>
      <c r="C39" s="57"/>
      <c r="D39" s="88" t="s">
        <v>45</v>
      </c>
      <c r="E39" s="64"/>
      <c r="F39" s="89" t="s">
        <v>9</v>
      </c>
      <c r="G39" s="42"/>
      <c r="H39" s="42"/>
      <c r="I39" s="42"/>
      <c r="J39" s="42"/>
      <c r="K39" s="42"/>
      <c r="L39" s="42"/>
    </row>
    <row r="40" spans="1:12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</row>
    <row r="41" spans="1:12">
      <c r="A41" s="90"/>
      <c r="B41" s="90"/>
      <c r="C41" s="90"/>
      <c r="D41" s="42"/>
      <c r="E41" s="42"/>
      <c r="F41" s="42"/>
      <c r="G41" s="42"/>
      <c r="H41" s="42"/>
      <c r="I41" s="42"/>
      <c r="J41" s="42"/>
      <c r="K41" s="42"/>
      <c r="L41" s="42"/>
    </row>
    <row r="42" spans="1:12">
      <c r="A42" s="90"/>
      <c r="B42" s="90"/>
      <c r="C42" s="90"/>
      <c r="D42" s="42"/>
      <c r="E42" s="42"/>
      <c r="F42" s="42"/>
      <c r="G42" s="42"/>
      <c r="H42" s="42"/>
      <c r="I42" s="42"/>
      <c r="J42" s="42"/>
      <c r="K42" s="42"/>
      <c r="L42" s="42"/>
    </row>
    <row r="43" spans="1:12">
      <c r="A43" s="90"/>
      <c r="B43" s="90"/>
      <c r="C43" s="90"/>
      <c r="D43" s="91"/>
      <c r="E43" s="42"/>
      <c r="F43" s="42"/>
      <c r="G43" s="42"/>
      <c r="H43" s="42"/>
      <c r="I43" s="42"/>
      <c r="J43" s="42"/>
      <c r="K43" s="42"/>
      <c r="L43" s="42"/>
    </row>
    <row r="44" spans="1:12">
      <c r="A44" s="90"/>
      <c r="B44" s="90"/>
      <c r="C44" s="90"/>
      <c r="D44" s="68"/>
      <c r="E44" s="68"/>
      <c r="F44" s="68"/>
      <c r="G44" s="68"/>
      <c r="H44" s="42"/>
      <c r="I44" s="42"/>
      <c r="J44" s="42"/>
      <c r="K44" s="42"/>
      <c r="L44" s="42"/>
    </row>
    <row r="45" spans="1:12">
      <c r="A45" s="90"/>
      <c r="B45" s="90"/>
      <c r="C45" s="90"/>
      <c r="D45" s="76"/>
      <c r="E45" s="76"/>
      <c r="F45" s="62"/>
      <c r="G45" s="78"/>
      <c r="H45" s="42"/>
      <c r="I45" s="42"/>
      <c r="J45" s="42"/>
      <c r="K45" s="42"/>
      <c r="L45" s="42"/>
    </row>
    <row r="46" spans="1:12">
      <c r="A46" s="90"/>
      <c r="B46" s="90"/>
      <c r="C46" s="90"/>
      <c r="D46" s="76"/>
      <c r="E46" s="76"/>
      <c r="F46" s="62"/>
      <c r="G46" s="78"/>
      <c r="H46" s="42"/>
      <c r="I46" s="42"/>
      <c r="J46" s="42"/>
      <c r="K46" s="42"/>
      <c r="L46" s="42"/>
    </row>
    <row r="47" spans="1:12">
      <c r="A47" s="90"/>
      <c r="B47" s="90"/>
      <c r="C47" s="90"/>
      <c r="D47" s="76"/>
      <c r="E47" s="76"/>
      <c r="F47" s="78"/>
      <c r="G47" s="78"/>
      <c r="H47" s="42"/>
      <c r="I47" s="42"/>
      <c r="J47" s="42"/>
      <c r="K47" s="42"/>
      <c r="L47" s="42"/>
    </row>
    <row r="48" spans="1:12">
      <c r="A48" s="42"/>
      <c r="B48" s="92"/>
      <c r="C48" s="92"/>
      <c r="D48" s="76"/>
      <c r="E48" s="76"/>
      <c r="F48" s="78"/>
      <c r="G48" s="78"/>
      <c r="H48" s="42"/>
      <c r="I48" s="42"/>
      <c r="J48" s="42"/>
      <c r="K48" s="42"/>
      <c r="L48" s="42"/>
    </row>
    <row r="49" spans="1:12">
      <c r="A49" s="42"/>
      <c r="B49" s="92"/>
      <c r="C49" s="92"/>
      <c r="D49" s="91"/>
      <c r="E49" s="42"/>
      <c r="F49" s="42"/>
      <c r="G49" s="42"/>
      <c r="H49" s="42"/>
      <c r="I49" s="42"/>
      <c r="J49" s="42"/>
      <c r="K49" s="42"/>
      <c r="L49" s="42"/>
    </row>
    <row r="50" spans="1:12">
      <c r="A50" s="42"/>
      <c r="B50" s="93"/>
      <c r="C50" s="93"/>
      <c r="D50" s="91"/>
      <c r="E50" s="42"/>
      <c r="F50" s="42"/>
      <c r="G50" s="42"/>
      <c r="H50" s="42"/>
      <c r="I50" s="42"/>
      <c r="J50" s="42"/>
      <c r="K50" s="42"/>
      <c r="L50" s="42"/>
    </row>
  </sheetData>
  <mergeCells count="50">
    <mergeCell ref="A1:F1"/>
    <mergeCell ref="A2:B2"/>
    <mergeCell ref="A3:B3"/>
    <mergeCell ref="A4:B4"/>
    <mergeCell ref="A5:B5"/>
    <mergeCell ref="A6:B6"/>
    <mergeCell ref="C6:D6"/>
    <mergeCell ref="E6:F6"/>
    <mergeCell ref="C7:D7"/>
    <mergeCell ref="E7:F7"/>
    <mergeCell ref="C8:D8"/>
    <mergeCell ref="E8:F8"/>
    <mergeCell ref="C9:D9"/>
    <mergeCell ref="E9:F9"/>
    <mergeCell ref="C10:F10"/>
    <mergeCell ref="C11:F11"/>
    <mergeCell ref="C12:F12"/>
    <mergeCell ref="C13:F13"/>
    <mergeCell ref="A14:B14"/>
    <mergeCell ref="C14:F14"/>
    <mergeCell ref="A15:B15"/>
    <mergeCell ref="C15:F15"/>
    <mergeCell ref="A16:F16"/>
    <mergeCell ref="A17:F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D38:E38"/>
    <mergeCell ref="A39:C39"/>
    <mergeCell ref="D39:E39"/>
    <mergeCell ref="A7:B11"/>
    <mergeCell ref="C2:F5"/>
  </mergeCells>
  <pageMargins left="0.25" right="0.25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"/>
  <sheetViews>
    <sheetView tabSelected="1" zoomScale="103" zoomScaleNormal="103" topLeftCell="A5" workbookViewId="0">
      <selection activeCell="I33" sqref="I33"/>
    </sheetView>
  </sheetViews>
  <sheetFormatPr defaultColWidth="9" defaultRowHeight="16.8"/>
  <cols>
    <col min="1" max="1" width="17.0803571428571" customWidth="1"/>
    <col min="2" max="2" width="44.8839285714286" customWidth="1"/>
    <col min="3" max="3" width="10.7857142857143" customWidth="1"/>
    <col min="4" max="7" width="10" customWidth="1"/>
    <col min="8" max="8" width="16.3035714285714" customWidth="1"/>
    <col min="9" max="9" width="14.5267857142857" customWidth="1"/>
    <col min="10" max="10" width="35.5" customWidth="1"/>
    <col min="15" max="15" width="9.57142857142857"/>
  </cols>
  <sheetData>
    <row r="1" ht="59.65" customHeight="1" spans="1:16">
      <c r="A1" s="1" t="s">
        <v>46</v>
      </c>
      <c r="B1" s="2"/>
      <c r="C1" s="2"/>
      <c r="D1" s="2"/>
      <c r="E1" s="2"/>
      <c r="F1" s="2"/>
      <c r="G1" s="2"/>
      <c r="H1" s="2"/>
    </row>
    <row r="2" spans="1:16">
      <c r="A2" s="3" t="s">
        <v>1</v>
      </c>
      <c r="B2" s="4"/>
      <c r="C2" s="5" t="s">
        <v>47</v>
      </c>
      <c r="D2" s="2"/>
      <c r="E2" s="2"/>
      <c r="F2" s="2"/>
      <c r="G2" s="2"/>
      <c r="H2" s="2"/>
    </row>
    <row r="3" ht="97" customHeight="1" spans="1:16">
      <c r="A3" s="6" t="s">
        <v>3</v>
      </c>
      <c r="B3" s="7"/>
      <c r="C3" s="2"/>
      <c r="D3" s="2"/>
      <c r="E3" s="2"/>
      <c r="F3" s="2"/>
      <c r="G3" s="2"/>
      <c r="H3" s="2"/>
    </row>
    <row r="4" spans="1:16">
      <c r="A4" s="3" t="s">
        <v>4</v>
      </c>
      <c r="B4" s="4"/>
      <c r="C4" s="2"/>
      <c r="D4" s="2"/>
      <c r="E4" s="2"/>
      <c r="F4" s="2"/>
      <c r="G4" s="2"/>
      <c r="H4" s="2"/>
    </row>
    <row r="5" ht="66" customHeight="1" spans="1:16">
      <c r="A5" s="8" t="s">
        <v>5</v>
      </c>
      <c r="B5" s="2"/>
      <c r="C5" s="2"/>
      <c r="D5" s="2"/>
      <c r="E5" s="2"/>
      <c r="F5" s="2"/>
      <c r="G5" s="2"/>
      <c r="H5" s="2"/>
    </row>
    <row r="6" spans="1:16">
      <c r="A6" s="9"/>
      <c r="B6" s="2"/>
      <c r="C6" s="3" t="s">
        <v>7</v>
      </c>
      <c r="D6" s="4"/>
      <c r="E6" s="10"/>
      <c r="F6" s="3" t="s">
        <v>8</v>
      </c>
      <c r="G6" s="11"/>
      <c r="H6" s="10"/>
    </row>
    <row r="7" ht="13.9" customHeight="1" spans="1:16">
      <c r="A7" s="12"/>
      <c r="B7" s="7"/>
      <c r="C7" s="13" t="s">
        <v>10</v>
      </c>
      <c r="D7" s="14"/>
      <c r="E7" s="15"/>
      <c r="F7" s="13" t="s">
        <v>11</v>
      </c>
      <c r="G7" s="14"/>
      <c r="H7" s="15"/>
    </row>
    <row r="8" spans="1:16">
      <c r="A8" s="3" t="s">
        <v>15</v>
      </c>
      <c r="B8" s="3" t="s">
        <v>16</v>
      </c>
      <c r="C8" s="3" t="s">
        <v>17</v>
      </c>
      <c r="D8" s="4"/>
      <c r="E8" s="4"/>
      <c r="F8" s="4"/>
      <c r="G8" s="4"/>
      <c r="H8" s="10"/>
    </row>
    <row r="9" spans="1:16">
      <c r="A9" s="13" t="s">
        <v>18</v>
      </c>
      <c r="B9" s="13" t="s">
        <v>19</v>
      </c>
      <c r="C9" s="13" t="s">
        <v>20</v>
      </c>
      <c r="D9" s="7"/>
      <c r="E9" s="7"/>
      <c r="F9" s="7"/>
      <c r="G9" s="7"/>
      <c r="H9" s="15"/>
    </row>
    <row r="10" spans="1:16">
      <c r="A10" s="3" t="s">
        <v>21</v>
      </c>
      <c r="B10" s="4"/>
      <c r="C10" s="3" t="s">
        <v>22</v>
      </c>
      <c r="D10" s="4"/>
      <c r="E10" s="4"/>
      <c r="F10" s="4"/>
      <c r="G10" s="4"/>
      <c r="H10" s="10"/>
    </row>
    <row r="11" spans="1:16">
      <c r="A11" s="13" t="s">
        <v>23</v>
      </c>
      <c r="B11" s="7"/>
      <c r="C11" s="13" t="s">
        <v>48</v>
      </c>
      <c r="D11" s="7"/>
      <c r="E11" s="7"/>
      <c r="F11" s="7"/>
      <c r="G11" s="7"/>
      <c r="H11" s="15"/>
    </row>
    <row r="12" spans="1:16">
      <c r="A12" s="3" t="s">
        <v>25</v>
      </c>
      <c r="B12" s="4"/>
      <c r="C12" s="4"/>
      <c r="D12" s="4"/>
      <c r="E12" s="4"/>
      <c r="F12" s="4"/>
      <c r="G12" s="4"/>
      <c r="H12" s="10"/>
    </row>
    <row r="13" spans="1:16">
      <c r="A13" s="6" t="s">
        <v>9</v>
      </c>
      <c r="B13" s="7"/>
      <c r="C13" s="7"/>
      <c r="D13" s="7"/>
      <c r="E13" s="7"/>
      <c r="F13" s="7"/>
      <c r="G13" s="7"/>
      <c r="H13" s="15"/>
    </row>
    <row r="14" spans="1:16">
      <c r="A14" s="16" t="s">
        <v>49</v>
      </c>
      <c r="B14" s="17"/>
      <c r="C14" s="18" t="s">
        <v>50</v>
      </c>
      <c r="D14" s="18" t="s">
        <v>51</v>
      </c>
      <c r="E14" s="18" t="s">
        <v>52</v>
      </c>
      <c r="F14" s="18" t="s">
        <v>53</v>
      </c>
      <c r="G14" s="18" t="s">
        <v>54</v>
      </c>
      <c r="H14" s="18" t="s">
        <v>55</v>
      </c>
      <c r="I14" s="19"/>
      <c r="J14" s="19"/>
      <c r="K14" s="19"/>
      <c r="L14" s="19"/>
      <c r="M14" s="19"/>
      <c r="N14" s="19"/>
      <c r="O14" s="19"/>
      <c r="P14" s="19"/>
    </row>
    <row r="15" ht="15" customHeight="1" spans="1:16">
      <c r="A15" s="20" t="s">
        <v>31</v>
      </c>
      <c r="B15" s="21"/>
      <c r="C15" s="22">
        <v>150000</v>
      </c>
      <c r="D15" s="22">
        <v>150</v>
      </c>
      <c r="E15" s="22">
        <v>3048.5</v>
      </c>
      <c r="F15" s="23">
        <v>3002</v>
      </c>
      <c r="G15" s="24">
        <v>10.935</v>
      </c>
      <c r="H15" s="22">
        <v>3926901000</v>
      </c>
      <c r="J15" s="25"/>
      <c r="K15" s="25"/>
      <c r="L15" s="25"/>
      <c r="M15" s="25"/>
      <c r="N15" s="25"/>
      <c r="O15" s="25"/>
      <c r="P15" s="25"/>
    </row>
    <row r="16" ht="15" customHeight="1" spans="1:16">
      <c r="A16" s="20" t="s">
        <v>32</v>
      </c>
      <c r="B16" s="21"/>
      <c r="C16" s="22">
        <v>266</v>
      </c>
      <c r="D16" s="22">
        <v>9</v>
      </c>
      <c r="E16" s="22">
        <v>168.1</v>
      </c>
      <c r="F16" s="23">
        <v>154</v>
      </c>
      <c r="G16" s="24">
        <v>0.18</v>
      </c>
      <c r="H16" s="26">
        <v>6804221000</v>
      </c>
      <c r="J16" s="25"/>
      <c r="K16" s="25"/>
      <c r="L16" s="25"/>
      <c r="M16" s="25"/>
      <c r="N16" s="25"/>
      <c r="O16" s="25"/>
      <c r="P16" s="25"/>
    </row>
    <row r="17" ht="15" customHeight="1" spans="1:16">
      <c r="A17" s="20" t="s">
        <v>33</v>
      </c>
      <c r="B17" s="21"/>
      <c r="C17" s="22">
        <v>149</v>
      </c>
      <c r="D17" s="22">
        <v>1</v>
      </c>
      <c r="E17" s="22">
        <v>25.4</v>
      </c>
      <c r="F17" s="23">
        <v>24.8</v>
      </c>
      <c r="G17" s="24">
        <v>0.03</v>
      </c>
      <c r="H17" s="22">
        <v>8207501000</v>
      </c>
      <c r="J17" s="25"/>
      <c r="K17" s="25"/>
      <c r="L17" s="25"/>
      <c r="M17" s="25"/>
      <c r="N17" s="25"/>
      <c r="O17" s="25"/>
      <c r="P17" s="25"/>
    </row>
    <row r="18" ht="15" customHeight="1" spans="1:16">
      <c r="A18" s="20" t="s">
        <v>34</v>
      </c>
      <c r="B18" s="21"/>
      <c r="C18" s="22">
        <v>91</v>
      </c>
      <c r="D18" s="22">
        <v>3</v>
      </c>
      <c r="E18" s="22">
        <v>72.9</v>
      </c>
      <c r="F18" s="23">
        <v>69.8</v>
      </c>
      <c r="G18" s="24">
        <v>0.14</v>
      </c>
      <c r="H18" s="22">
        <v>8466910000</v>
      </c>
      <c r="J18" s="25"/>
      <c r="K18" s="25"/>
      <c r="L18" s="25"/>
      <c r="M18" s="25"/>
      <c r="N18" s="25"/>
      <c r="O18" s="25"/>
      <c r="P18" s="25"/>
    </row>
    <row r="19" ht="15" customHeight="1" spans="1:16">
      <c r="A19" s="20" t="s">
        <v>35</v>
      </c>
      <c r="B19" s="21"/>
      <c r="C19" s="22">
        <v>20</v>
      </c>
      <c r="D19" s="22">
        <v>1</v>
      </c>
      <c r="E19" s="22">
        <v>4.8</v>
      </c>
      <c r="F19" s="23">
        <v>4.6</v>
      </c>
      <c r="G19" s="24">
        <v>0.05</v>
      </c>
      <c r="H19" s="22">
        <v>6804229090</v>
      </c>
      <c r="J19" s="25"/>
      <c r="K19" s="25"/>
      <c r="L19" s="25"/>
      <c r="M19" s="25"/>
      <c r="N19" s="25"/>
      <c r="O19" s="25"/>
      <c r="P19" s="25"/>
    </row>
    <row r="20" ht="15" customHeight="1" spans="1:16">
      <c r="A20" s="20" t="s">
        <v>36</v>
      </c>
      <c r="B20" s="21"/>
      <c r="C20" s="22">
        <v>4680</v>
      </c>
      <c r="D20" s="22">
        <v>229</v>
      </c>
      <c r="E20" s="22">
        <v>5010</v>
      </c>
      <c r="F20" s="23">
        <v>4909.8</v>
      </c>
      <c r="G20" s="24">
        <v>35.12</v>
      </c>
      <c r="H20" s="22">
        <v>8302410000</v>
      </c>
      <c r="J20" s="25"/>
      <c r="K20" s="25"/>
      <c r="L20" s="25"/>
      <c r="M20" s="25"/>
      <c r="N20" s="25"/>
      <c r="O20" s="25"/>
      <c r="P20" s="25"/>
    </row>
    <row r="21" ht="15" customHeight="1" spans="1:16">
      <c r="A21" s="20" t="s">
        <v>37</v>
      </c>
      <c r="B21" s="21"/>
      <c r="C21" s="22">
        <v>4120</v>
      </c>
      <c r="D21" s="22">
        <v>135</v>
      </c>
      <c r="E21" s="22">
        <v>1660</v>
      </c>
      <c r="F21" s="23">
        <v>1626.8</v>
      </c>
      <c r="G21" s="24">
        <v>0.9490551</v>
      </c>
      <c r="H21" s="22">
        <v>8302410000</v>
      </c>
      <c r="J21" s="25"/>
      <c r="K21" s="25"/>
      <c r="L21" s="25"/>
      <c r="M21" s="25"/>
      <c r="N21" s="25"/>
      <c r="O21" s="25"/>
      <c r="P21" s="25"/>
    </row>
    <row r="22" ht="15" customHeight="1" spans="1:16">
      <c r="A22" s="20" t="s">
        <v>38</v>
      </c>
      <c r="B22" s="21"/>
      <c r="C22" s="22">
        <v>1200</v>
      </c>
      <c r="D22" s="22">
        <v>200</v>
      </c>
      <c r="E22" s="22">
        <v>7790.3</v>
      </c>
      <c r="F22" s="23">
        <v>7634.494</v>
      </c>
      <c r="G22" s="24">
        <v>19.44836</v>
      </c>
      <c r="H22" s="22">
        <v>8302410000</v>
      </c>
      <c r="J22" s="25"/>
      <c r="K22" s="25"/>
      <c r="L22" s="25"/>
      <c r="M22" s="25"/>
      <c r="N22" s="25"/>
      <c r="O22" s="25"/>
      <c r="P22" s="25"/>
    </row>
    <row r="23" ht="15" customHeight="1" spans="1:16">
      <c r="A23" s="20" t="s">
        <v>39</v>
      </c>
      <c r="B23" s="21"/>
      <c r="C23" s="22">
        <v>260</v>
      </c>
      <c r="D23" s="22">
        <v>42</v>
      </c>
      <c r="E23" s="22">
        <v>780</v>
      </c>
      <c r="F23" s="23">
        <v>764.4</v>
      </c>
      <c r="G23" s="24">
        <v>1.262817</v>
      </c>
      <c r="H23" s="22">
        <v>8302410000</v>
      </c>
      <c r="J23" s="25"/>
      <c r="K23" s="25"/>
      <c r="L23" s="25"/>
      <c r="M23" s="25"/>
      <c r="N23" s="25"/>
      <c r="O23" s="25"/>
      <c r="P23" s="25"/>
    </row>
    <row r="24" ht="15" customHeight="1" spans="1:16">
      <c r="A24" s="20" t="s">
        <v>40</v>
      </c>
      <c r="B24" s="21"/>
      <c r="C24" s="22">
        <v>5020</v>
      </c>
      <c r="D24" s="22">
        <v>56</v>
      </c>
      <c r="E24" s="22">
        <v>630</v>
      </c>
      <c r="F24" s="23">
        <v>617.4</v>
      </c>
      <c r="G24" s="24">
        <v>1.4348046</v>
      </c>
      <c r="H24" s="22">
        <v>8302410000</v>
      </c>
      <c r="J24" s="25"/>
      <c r="K24" s="25"/>
      <c r="L24" s="25"/>
      <c r="M24" s="25"/>
      <c r="N24" s="25"/>
      <c r="O24" s="25"/>
      <c r="P24" s="25"/>
    </row>
    <row r="25" ht="15" customHeight="1" spans="1:16">
      <c r="A25" s="20" t="s">
        <v>41</v>
      </c>
      <c r="B25" s="21"/>
      <c r="C25" s="22">
        <v>400</v>
      </c>
      <c r="D25" s="22">
        <v>100</v>
      </c>
      <c r="E25" s="22">
        <v>2210</v>
      </c>
      <c r="F25" s="23">
        <v>2165.8</v>
      </c>
      <c r="G25" s="24">
        <v>3.14</v>
      </c>
      <c r="H25" s="22">
        <v>8302600000</v>
      </c>
      <c r="J25" s="25"/>
      <c r="K25" s="25"/>
      <c r="L25" s="25"/>
      <c r="M25" s="25"/>
      <c r="N25" s="25"/>
      <c r="O25" s="25"/>
      <c r="P25" s="25"/>
    </row>
    <row r="26" ht="15" customHeight="1" spans="1:16">
      <c r="A26" s="20" t="s">
        <v>42</v>
      </c>
      <c r="B26" s="21"/>
      <c r="C26" s="22">
        <v>24350</v>
      </c>
      <c r="D26" s="22">
        <v>218</v>
      </c>
      <c r="E26" s="22">
        <v>2650</v>
      </c>
      <c r="F26" s="23">
        <v>2597</v>
      </c>
      <c r="G26" s="24">
        <v>3.89</v>
      </c>
      <c r="H26" s="22">
        <v>8302410000</v>
      </c>
      <c r="J26" s="25"/>
      <c r="K26" s="25"/>
      <c r="L26" s="25"/>
      <c r="M26" s="25"/>
      <c r="N26" s="25"/>
      <c r="O26" s="25"/>
      <c r="P26" s="25"/>
    </row>
    <row r="27" ht="15" customHeight="1" spans="1:16">
      <c r="A27" s="20" t="s">
        <v>43</v>
      </c>
      <c r="B27" s="21"/>
      <c r="C27" s="22">
        <v>1500</v>
      </c>
      <c r="D27" s="22">
        <v>127</v>
      </c>
      <c r="E27" s="22">
        <v>2210</v>
      </c>
      <c r="F27" s="23">
        <v>2165.8</v>
      </c>
      <c r="G27" s="24">
        <v>5.8</v>
      </c>
      <c r="H27" s="22">
        <v>8301400000</v>
      </c>
      <c r="J27" s="25"/>
      <c r="K27" s="25"/>
      <c r="L27" s="25"/>
      <c r="M27" s="25"/>
      <c r="N27" s="25"/>
      <c r="O27" s="25"/>
      <c r="P27" s="25"/>
    </row>
    <row r="28" ht="15" customHeight="1" spans="1:16">
      <c r="A28" s="20" t="s">
        <v>36</v>
      </c>
      <c r="B28" s="21"/>
      <c r="C28" s="22">
        <v>14670</v>
      </c>
      <c r="D28" s="22">
        <v>446</v>
      </c>
      <c r="E28" s="22">
        <v>8300</v>
      </c>
      <c r="F28" s="23">
        <v>8134</v>
      </c>
      <c r="G28" s="24">
        <v>39.9</v>
      </c>
      <c r="H28" s="22">
        <v>8302410000</v>
      </c>
      <c r="J28" s="25"/>
      <c r="K28" s="25"/>
      <c r="L28" s="25"/>
      <c r="M28" s="25"/>
      <c r="N28" s="25"/>
      <c r="O28" s="25"/>
      <c r="P28" s="25"/>
    </row>
    <row r="29" ht="15" customHeight="1" spans="1:16">
      <c r="A29" s="20" t="s">
        <v>38</v>
      </c>
      <c r="B29" s="21"/>
      <c r="C29" s="22">
        <v>1350</v>
      </c>
      <c r="D29" s="22">
        <v>78</v>
      </c>
      <c r="E29" s="22">
        <v>1580</v>
      </c>
      <c r="F29" s="23">
        <v>1548.4</v>
      </c>
      <c r="G29" s="24">
        <v>2.15</v>
      </c>
      <c r="H29" s="22">
        <v>8302410000</v>
      </c>
      <c r="J29" s="25"/>
      <c r="K29" s="25"/>
      <c r="L29" s="25"/>
      <c r="M29" s="25"/>
      <c r="N29" s="25"/>
      <c r="O29" s="25"/>
      <c r="P29" s="25"/>
    </row>
    <row r="30" ht="15" customHeight="1" spans="1:16">
      <c r="A30" s="20"/>
      <c r="B30" s="27"/>
      <c r="C30" s="22"/>
      <c r="D30" s="22"/>
      <c r="E30" s="22"/>
      <c r="F30" s="22"/>
      <c r="G30" s="24"/>
      <c r="H30" s="22"/>
      <c r="I30" s="28"/>
      <c r="J30" s="25"/>
      <c r="K30" s="25"/>
      <c r="L30" s="25"/>
      <c r="M30" s="25"/>
      <c r="N30" s="25"/>
      <c r="O30" s="25"/>
      <c r="P30" s="25"/>
    </row>
    <row r="31" ht="15" customHeight="1" spans="1:16">
      <c r="A31" s="20"/>
      <c r="B31" s="27"/>
      <c r="C31" s="22"/>
      <c r="D31" s="22"/>
      <c r="E31" s="22"/>
      <c r="F31" s="22"/>
      <c r="G31" s="24"/>
      <c r="H31" s="22"/>
      <c r="I31" s="28"/>
      <c r="J31" s="25"/>
      <c r="K31" s="25"/>
      <c r="L31" s="25"/>
      <c r="M31" s="25"/>
      <c r="N31" s="25"/>
      <c r="O31" s="25"/>
      <c r="P31" s="25"/>
    </row>
    <row r="32" ht="15" customHeight="1" spans="1:16">
      <c r="A32" s="29" t="s">
        <v>9</v>
      </c>
      <c r="B32" s="2"/>
      <c r="C32" s="22" t="s">
        <v>9</v>
      </c>
      <c r="D32" s="22" t="s">
        <v>9</v>
      </c>
      <c r="E32" s="22" t="s">
        <v>9</v>
      </c>
      <c r="F32" s="22" t="s">
        <v>9</v>
      </c>
      <c r="G32" s="22" t="s">
        <v>9</v>
      </c>
      <c r="H32" s="22"/>
      <c r="I32" s="30"/>
      <c r="J32" s="30"/>
      <c r="K32" s="30"/>
      <c r="L32" s="30"/>
      <c r="M32" s="30"/>
      <c r="N32" s="25"/>
      <c r="O32" s="25"/>
      <c r="P32" s="25"/>
    </row>
    <row r="33" ht="50" customHeight="1" spans="1:8">
      <c r="A33" s="31" t="s">
        <v>44</v>
      </c>
      <c r="B33" s="17"/>
      <c r="C33" s="32">
        <f>SUM(C15:C32)</f>
        <v>208076</v>
      </c>
      <c r="D33" s="32">
        <f>SUM(D15:D32)</f>
        <v>1795</v>
      </c>
      <c r="E33" s="32">
        <f>SUM(E15:E32)</f>
        <v>36140</v>
      </c>
      <c r="F33" s="32">
        <f>SUM(F15:F32)</f>
        <v>35419.094</v>
      </c>
      <c r="G33" s="33">
        <f>SUM(G15:G32)</f>
        <v>124.4300367</v>
      </c>
      <c r="H33" s="32"/>
    </row>
    <row r="34" ht="77.65" customHeight="1" spans="1:8">
      <c r="A34" s="29" t="s">
        <v>9</v>
      </c>
      <c r="B34" s="2"/>
      <c r="C34" s="2"/>
      <c r="D34" s="2"/>
      <c r="E34" s="2"/>
      <c r="F34" s="2"/>
      <c r="G34" s="34"/>
      <c r="H34" s="35" t="s">
        <v>9</v>
      </c>
    </row>
    <row r="35" ht="18.4" customHeight="1" spans="1:8">
      <c r="A35" s="36" t="s">
        <v>9</v>
      </c>
      <c r="B35" s="7"/>
      <c r="C35" s="7"/>
      <c r="D35" s="7"/>
      <c r="E35" s="37" t="s">
        <v>45</v>
      </c>
      <c r="F35" s="17"/>
      <c r="G35" s="38"/>
      <c r="H35" s="39" t="s">
        <v>9</v>
      </c>
    </row>
  </sheetData>
  <mergeCells count="41">
    <mergeCell ref="A1:H1"/>
    <mergeCell ref="A2:B2"/>
    <mergeCell ref="A3:B3"/>
    <mergeCell ref="A4:B4"/>
    <mergeCell ref="C6:E6"/>
    <mergeCell ref="F6:H6"/>
    <mergeCell ref="C7:E7"/>
    <mergeCell ref="F7:H7"/>
    <mergeCell ref="C8:H8"/>
    <mergeCell ref="C9:H9"/>
    <mergeCell ref="A10:B10"/>
    <mergeCell ref="C10:H10"/>
    <mergeCell ref="A11:B11"/>
    <mergeCell ref="C11:H11"/>
    <mergeCell ref="A12:H12"/>
    <mergeCell ref="A13:H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D35"/>
    <mergeCell ref="E35:F35"/>
    <mergeCell ref="A5:B7"/>
    <mergeCell ref="C2:H5"/>
  </mergeCells>
  <pageMargins left="0.25" right="0.25" top="0.75" bottom="0.75" header="0.3" footer="0.3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8</xdr:col>
                <xdr:colOff>0</xdr:colOff>
                <xdr:row>36</xdr:row>
                <xdr:rowOff>0</xdr:rowOff>
              </from>
              <to>
                <xdr:col>9</xdr:col>
                <xdr:colOff>126365</xdr:colOff>
                <xdr:row>37</xdr:row>
                <xdr:rowOff>0</xdr:rowOff>
              </to>
            </anchor>
          </controlPr>
        </control>
      </mc:Choice>
      <mc:Fallback>
        <control shapeId="1025" r:id="rId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</vt:lpstr>
      <vt:lpstr>PKG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JONGIN LEE</dc:creator>
  <cp:lastModifiedBy>蔡笳炜</cp:lastModifiedBy>
  <dcterms:created xsi:type="dcterms:W3CDTF">2023-01-18T08:20:00Z</dcterms:created>
  <cp:lastPrinted>2023-01-18T08:36:00Z</cp:lastPrinted>
  <dcterms:modified xsi:type="dcterms:W3CDTF">2026-03-23T16:24:33Z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E44C8BC0815F7412F037EB6880F2E8D0_43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